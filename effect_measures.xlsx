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sbalaj4_emory_edu/Documents/GitHub/meta_analysis/"/>
    </mc:Choice>
  </mc:AlternateContent>
  <xr:revisionPtr revIDLastSave="18" documentId="8_{92A256C5-1615-4B30-B860-42A9B695FC30}" xr6:coauthVersionLast="47" xr6:coauthVersionMax="47" xr10:uidLastSave="{76119868-21E5-4DE6-96F0-3C504144B4CA}"/>
  <bookViews>
    <workbookView xWindow="11424" yWindow="0" windowWidth="11712" windowHeight="12336" xr2:uid="{36B34C1E-1256-43FC-8240-3914C18DF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E11" i="1"/>
  <c r="E8" i="1"/>
  <c r="E59" i="1"/>
  <c r="E56" i="1"/>
  <c r="E64" i="1"/>
  <c r="C54" i="1"/>
  <c r="E35" i="1"/>
  <c r="C30" i="1"/>
  <c r="E61" i="1"/>
  <c r="E40" i="1"/>
  <c r="E42" i="1"/>
  <c r="E45" i="1"/>
  <c r="E37" i="1"/>
  <c r="E32" i="1"/>
  <c r="E9" i="1"/>
  <c r="E13" i="1"/>
  <c r="E14" i="1" s="1"/>
  <c r="E21" i="1"/>
  <c r="E39" i="1" l="1"/>
  <c r="E34" i="1"/>
  <c r="E44" i="1"/>
  <c r="E57" i="1"/>
  <c r="E63" i="1"/>
  <c r="E58" i="1"/>
  <c r="E62" i="1"/>
  <c r="E43" i="1"/>
  <c r="E38" i="1"/>
  <c r="E15" i="1"/>
  <c r="E10" i="1"/>
  <c r="E18" i="1"/>
  <c r="E19" i="1" s="1"/>
  <c r="E20" i="1" l="1"/>
  <c r="E33" i="1"/>
</calcChain>
</file>

<file path=xl/sharedStrings.xml><?xml version="1.0" encoding="utf-8"?>
<sst xmlns="http://schemas.openxmlformats.org/spreadsheetml/2006/main" count="93" uniqueCount="28">
  <si>
    <t>SE log odds</t>
  </si>
  <si>
    <t>95% CI Lower</t>
  </si>
  <si>
    <t xml:space="preserve">95% CI Upper </t>
  </si>
  <si>
    <t>OR</t>
  </si>
  <si>
    <t>Hispanic</t>
  </si>
  <si>
    <t>Non-3GCR</t>
  </si>
  <si>
    <t>Mark</t>
  </si>
  <si>
    <t>Non-ESBL</t>
  </si>
  <si>
    <t>ESBL</t>
  </si>
  <si>
    <t>Zhu</t>
  </si>
  <si>
    <t>Hispanic/Latinx vs. White</t>
  </si>
  <si>
    <t>Latinx vs White</t>
  </si>
  <si>
    <t xml:space="preserve">Zhu </t>
  </si>
  <si>
    <t>Non ESBL</t>
  </si>
  <si>
    <t>White</t>
  </si>
  <si>
    <t>3GCR</t>
  </si>
  <si>
    <t>Black</t>
  </si>
  <si>
    <t>Raphael (pre-calculated)</t>
  </si>
  <si>
    <t>Black vs. White</t>
  </si>
  <si>
    <t>Caucasian</t>
  </si>
  <si>
    <t>Collingwood</t>
  </si>
  <si>
    <t>RR</t>
  </si>
  <si>
    <t>Asian vs. White</t>
  </si>
  <si>
    <t>Asian/Pacific Islander</t>
  </si>
  <si>
    <t>Asian</t>
  </si>
  <si>
    <t>Collingwood #excluded from meta-analysis</t>
  </si>
  <si>
    <t>African American</t>
  </si>
  <si>
    <t>Black/African American vs.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</si>
</sst>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A79C-73D5-4158-B651-E8E71F6B1116}">
  <dimension ref="A1:F64"/>
  <sheetViews>
    <sheetView tabSelected="1" zoomScale="87" zoomScaleNormal="55" workbookViewId="0">
      <selection activeCell="A25" sqref="A25"/>
    </sheetView>
  </sheetViews>
  <sheetFormatPr defaultRowHeight="14.4" x14ac:dyDescent="0.3"/>
  <cols>
    <col min="1" max="1" width="41.88671875" customWidth="1"/>
    <col min="8" max="8" width="32.21875" customWidth="1"/>
  </cols>
  <sheetData>
    <row r="1" spans="1:5" x14ac:dyDescent="0.3">
      <c r="A1" s="2" t="s">
        <v>10</v>
      </c>
    </row>
    <row r="2" spans="1:5" x14ac:dyDescent="0.3">
      <c r="A2" s="1" t="s">
        <v>17</v>
      </c>
    </row>
    <row r="3" spans="1:5" x14ac:dyDescent="0.3">
      <c r="A3" t="s">
        <v>11</v>
      </c>
      <c r="B3" t="s">
        <v>21</v>
      </c>
      <c r="C3">
        <v>1.52</v>
      </c>
    </row>
    <row r="4" spans="1:5" x14ac:dyDescent="0.3">
      <c r="B4" t="s">
        <v>2</v>
      </c>
      <c r="C4">
        <v>2.33</v>
      </c>
    </row>
    <row r="5" spans="1:5" x14ac:dyDescent="0.3">
      <c r="B5" t="s">
        <v>1</v>
      </c>
      <c r="C5">
        <v>0.99</v>
      </c>
    </row>
    <row r="6" spans="1:5" x14ac:dyDescent="0.3">
      <c r="B6" t="s">
        <v>0</v>
      </c>
      <c r="C6">
        <f>(LN(C4)-LN(C5))/(2*1.96)</f>
        <v>0.2183465825079364</v>
      </c>
    </row>
    <row r="7" spans="1:5" x14ac:dyDescent="0.3">
      <c r="A7" s="1" t="s">
        <v>12</v>
      </c>
    </row>
    <row r="8" spans="1:5" x14ac:dyDescent="0.3">
      <c r="B8" t="s">
        <v>8</v>
      </c>
      <c r="C8" t="s">
        <v>13</v>
      </c>
      <c r="D8" t="s">
        <v>21</v>
      </c>
      <c r="E8">
        <f>(B9/(B9+C9))/(B10/(B10+C10))</f>
        <v>0.8276315789473685</v>
      </c>
    </row>
    <row r="9" spans="1:5" x14ac:dyDescent="0.3">
      <c r="A9" t="s">
        <v>4</v>
      </c>
      <c r="B9">
        <v>17</v>
      </c>
      <c r="C9">
        <v>23</v>
      </c>
      <c r="D9" t="s">
        <v>2</v>
      </c>
      <c r="E9">
        <f>EXP(LN(E8)+1.96*E11)</f>
        <v>2.0340779790534622</v>
      </c>
    </row>
    <row r="10" spans="1:5" x14ac:dyDescent="0.3">
      <c r="A10" t="s">
        <v>14</v>
      </c>
      <c r="B10">
        <v>19</v>
      </c>
      <c r="C10">
        <v>18</v>
      </c>
      <c r="D10" t="s">
        <v>1</v>
      </c>
      <c r="E10">
        <f>EXP(LN(E8)-1.96*E11)</f>
        <v>0.33674914999554739</v>
      </c>
    </row>
    <row r="11" spans="1:5" x14ac:dyDescent="0.3">
      <c r="D11" t="s">
        <v>0</v>
      </c>
      <c r="E11">
        <f>SQRT(1/B9+1/C9+1/B10+1/C10)</f>
        <v>0.45879072002848298</v>
      </c>
    </row>
    <row r="12" spans="1:5" x14ac:dyDescent="0.3">
      <c r="A12" s="1" t="s">
        <v>6</v>
      </c>
    </row>
    <row r="13" spans="1:5" x14ac:dyDescent="0.3">
      <c r="B13" t="s">
        <v>15</v>
      </c>
      <c r="C13" t="s">
        <v>5</v>
      </c>
      <c r="D13" t="s">
        <v>21</v>
      </c>
      <c r="E13">
        <f>(B14/(B14+C14))/(B15/(B15+C15))</f>
        <v>1.236601466992665</v>
      </c>
    </row>
    <row r="14" spans="1:5" x14ac:dyDescent="0.3">
      <c r="A14" t="s">
        <v>4</v>
      </c>
      <c r="B14">
        <v>115</v>
      </c>
      <c r="C14">
        <v>703</v>
      </c>
      <c r="D14" t="s">
        <v>2</v>
      </c>
      <c r="E14">
        <f>EXP(LN(E13)+1.96*E16)</f>
        <v>1.5674460369952548</v>
      </c>
    </row>
    <row r="15" spans="1:5" x14ac:dyDescent="0.3">
      <c r="A15" t="s">
        <v>14</v>
      </c>
      <c r="B15">
        <v>250</v>
      </c>
      <c r="C15">
        <v>1949</v>
      </c>
      <c r="D15" t="s">
        <v>1</v>
      </c>
      <c r="E15">
        <f>EXP(LN(E13)-1.96*E16)</f>
        <v>0.97558904873038421</v>
      </c>
    </row>
    <row r="16" spans="1:5" x14ac:dyDescent="0.3">
      <c r="D16" t="s">
        <v>0</v>
      </c>
      <c r="E16">
        <v>0.120959542</v>
      </c>
    </row>
    <row r="17" spans="1:5" x14ac:dyDescent="0.3">
      <c r="A17" s="1" t="s">
        <v>25</v>
      </c>
    </row>
    <row r="18" spans="1:5" x14ac:dyDescent="0.3">
      <c r="B18" t="s">
        <v>8</v>
      </c>
      <c r="C18" t="s">
        <v>7</v>
      </c>
      <c r="D18" t="s">
        <v>3</v>
      </c>
      <c r="E18">
        <f>(B19/C19)/(B20/C20)</f>
        <v>0</v>
      </c>
    </row>
    <row r="19" spans="1:5" x14ac:dyDescent="0.3">
      <c r="A19" t="s">
        <v>4</v>
      </c>
      <c r="B19">
        <v>0</v>
      </c>
      <c r="C19">
        <v>6</v>
      </c>
      <c r="D19" t="s">
        <v>2</v>
      </c>
      <c r="E19" t="e">
        <f>EXP(LN(E18)+1.96*E21)</f>
        <v>#NUM!</v>
      </c>
    </row>
    <row r="20" spans="1:5" x14ac:dyDescent="0.3">
      <c r="A20" t="s">
        <v>14</v>
      </c>
      <c r="B20">
        <v>81</v>
      </c>
      <c r="C20">
        <v>2143</v>
      </c>
      <c r="D20" t="s">
        <v>1</v>
      </c>
      <c r="E20" t="e">
        <f>EXP(LN(E18)-1.96*E21)</f>
        <v>#NUM!</v>
      </c>
    </row>
    <row r="21" spans="1:5" x14ac:dyDescent="0.3">
      <c r="D21" t="s">
        <v>0</v>
      </c>
      <c r="E21" t="e">
        <f>SQRT((1/B19)+(1/C19)+(1/B20)+(1/C20))</f>
        <v>#DIV/0!</v>
      </c>
    </row>
    <row r="24" spans="1:5" x14ac:dyDescent="0.3">
      <c r="A24" s="2" t="s">
        <v>27</v>
      </c>
    </row>
    <row r="26" spans="1:5" x14ac:dyDescent="0.3">
      <c r="A26" s="1" t="s">
        <v>17</v>
      </c>
    </row>
    <row r="27" spans="1:5" x14ac:dyDescent="0.3">
      <c r="A27" t="s">
        <v>18</v>
      </c>
      <c r="B27" t="s">
        <v>21</v>
      </c>
      <c r="C27">
        <v>0.83</v>
      </c>
    </row>
    <row r="28" spans="1:5" x14ac:dyDescent="0.3">
      <c r="B28" t="s">
        <v>2</v>
      </c>
      <c r="C28">
        <v>1.32</v>
      </c>
    </row>
    <row r="29" spans="1:5" x14ac:dyDescent="0.3">
      <c r="B29" t="s">
        <v>1</v>
      </c>
      <c r="C29">
        <v>0.52</v>
      </c>
    </row>
    <row r="30" spans="1:5" x14ac:dyDescent="0.3">
      <c r="B30" t="s">
        <v>0</v>
      </c>
      <c r="C30">
        <f>(LN(C28)-LN(C29))/(2*1.96)</f>
        <v>0.23764239898085293</v>
      </c>
    </row>
    <row r="31" spans="1:5" x14ac:dyDescent="0.3">
      <c r="A31" s="1" t="s">
        <v>6</v>
      </c>
    </row>
    <row r="32" spans="1:5" x14ac:dyDescent="0.3">
      <c r="B32" t="s">
        <v>15</v>
      </c>
      <c r="C32" t="s">
        <v>5</v>
      </c>
      <c r="D32" t="s">
        <v>21</v>
      </c>
      <c r="E32">
        <f>(B33/(B33+C33))/(B34/(B34+C34))</f>
        <v>1.1705703422053231</v>
      </c>
    </row>
    <row r="33" spans="1:6" x14ac:dyDescent="0.3">
      <c r="A33" t="s">
        <v>16</v>
      </c>
      <c r="B33">
        <v>35</v>
      </c>
      <c r="C33">
        <v>228</v>
      </c>
      <c r="D33" t="s">
        <v>2</v>
      </c>
      <c r="E33">
        <f>EXP(LN(E32)+1.96*E35)</f>
        <v>1.7106852720199652</v>
      </c>
    </row>
    <row r="34" spans="1:6" x14ac:dyDescent="0.3">
      <c r="A34" t="s">
        <v>14</v>
      </c>
      <c r="B34">
        <v>250</v>
      </c>
      <c r="C34">
        <v>1949</v>
      </c>
      <c r="D34" t="s">
        <v>1</v>
      </c>
      <c r="E34">
        <f>EXP(LN(E32)-1.96*E35)</f>
        <v>0.8009859840745126</v>
      </c>
    </row>
    <row r="35" spans="1:6" x14ac:dyDescent="0.3">
      <c r="D35" t="s">
        <v>0</v>
      </c>
      <c r="E35">
        <f>SQRT(1/B33+1/C33+1/B34+1/C34)</f>
        <v>0.1935729245435461</v>
      </c>
    </row>
    <row r="36" spans="1:6" x14ac:dyDescent="0.3">
      <c r="A36" s="1" t="s">
        <v>9</v>
      </c>
    </row>
    <row r="37" spans="1:6" x14ac:dyDescent="0.3">
      <c r="B37" t="s">
        <v>8</v>
      </c>
      <c r="C37" t="s">
        <v>7</v>
      </c>
      <c r="D37" t="s">
        <v>21</v>
      </c>
      <c r="E37">
        <f>(B38/(B38+C38))/(B39/(B39+C39))</f>
        <v>0.80185758513931893</v>
      </c>
    </row>
    <row r="38" spans="1:6" x14ac:dyDescent="0.3">
      <c r="A38" t="s">
        <v>26</v>
      </c>
      <c r="B38">
        <v>35</v>
      </c>
      <c r="C38">
        <v>50</v>
      </c>
      <c r="D38" t="s">
        <v>2</v>
      </c>
      <c r="E38">
        <f>EXP(LN(E37)+1.96*E40)</f>
        <v>1.7422782285739029</v>
      </c>
    </row>
    <row r="39" spans="1:6" x14ac:dyDescent="0.3">
      <c r="A39" t="s">
        <v>19</v>
      </c>
      <c r="B39">
        <v>19</v>
      </c>
      <c r="C39">
        <v>18</v>
      </c>
      <c r="D39" t="s">
        <v>1</v>
      </c>
      <c r="E39">
        <f>EXP(LN(E37)-1.96*E40)</f>
        <v>0.36904300145663377</v>
      </c>
    </row>
    <row r="40" spans="1:6" x14ac:dyDescent="0.3">
      <c r="D40" t="s">
        <v>0</v>
      </c>
      <c r="E40">
        <f>SQRT(1/B38+1/C38+1/B39+1/C39)</f>
        <v>0.39592747198742417</v>
      </c>
    </row>
    <row r="41" spans="1:6" x14ac:dyDescent="0.3">
      <c r="A41" s="1" t="s">
        <v>20</v>
      </c>
    </row>
    <row r="42" spans="1:6" x14ac:dyDescent="0.3">
      <c r="B42" t="s">
        <v>8</v>
      </c>
      <c r="C42" t="s">
        <v>7</v>
      </c>
      <c r="D42" t="s">
        <v>21</v>
      </c>
      <c r="E42">
        <f>(B43/(B43+C43))/(B44/(B44+C44))</f>
        <v>1.0101160246087781</v>
      </c>
    </row>
    <row r="43" spans="1:6" x14ac:dyDescent="0.3">
      <c r="A43" t="s">
        <v>16</v>
      </c>
      <c r="B43">
        <v>44</v>
      </c>
      <c r="C43">
        <v>1152</v>
      </c>
      <c r="D43" t="s">
        <v>2</v>
      </c>
      <c r="E43">
        <f>EXP(LN(E42)+1.96*E45)</f>
        <v>1.4682168294137297</v>
      </c>
    </row>
    <row r="44" spans="1:6" x14ac:dyDescent="0.3">
      <c r="A44" t="s">
        <v>14</v>
      </c>
      <c r="B44">
        <v>81</v>
      </c>
      <c r="C44">
        <v>2143</v>
      </c>
      <c r="D44" t="s">
        <v>1</v>
      </c>
      <c r="E44">
        <f>EXP(LN(E42)-1.96*E45)</f>
        <v>0.69494802316008675</v>
      </c>
    </row>
    <row r="45" spans="1:6" x14ac:dyDescent="0.3">
      <c r="D45" t="s">
        <v>0</v>
      </c>
      <c r="E45">
        <f>SQRT(1/B43+1/C43+1/B44+1/C44)</f>
        <v>0.1908078689488551</v>
      </c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2" t="s">
        <v>22</v>
      </c>
    </row>
    <row r="50" spans="1:5" x14ac:dyDescent="0.3">
      <c r="A50" s="1" t="s">
        <v>17</v>
      </c>
    </row>
    <row r="51" spans="1:5" x14ac:dyDescent="0.3">
      <c r="A51" t="s">
        <v>22</v>
      </c>
      <c r="B51" t="s">
        <v>21</v>
      </c>
      <c r="C51">
        <v>0.96</v>
      </c>
    </row>
    <row r="52" spans="1:5" x14ac:dyDescent="0.3">
      <c r="B52" t="s">
        <v>2</v>
      </c>
      <c r="C52">
        <v>1.48</v>
      </c>
    </row>
    <row r="53" spans="1:5" x14ac:dyDescent="0.3">
      <c r="B53" t="s">
        <v>1</v>
      </c>
      <c r="C53">
        <v>0.62</v>
      </c>
    </row>
    <row r="54" spans="1:5" x14ac:dyDescent="0.3">
      <c r="B54" t="s">
        <v>0</v>
      </c>
      <c r="C54">
        <f>(LN(C52)-LN(C53))/(2*1.96)</f>
        <v>0.22195864508138355</v>
      </c>
    </row>
    <row r="55" spans="1:5" x14ac:dyDescent="0.3">
      <c r="A55" s="1" t="s">
        <v>6</v>
      </c>
    </row>
    <row r="56" spans="1:5" x14ac:dyDescent="0.3">
      <c r="B56" t="s">
        <v>15</v>
      </c>
      <c r="C56" t="s">
        <v>5</v>
      </c>
      <c r="D56" t="s">
        <v>21</v>
      </c>
      <c r="E56">
        <f>(B57/(B57+C57))/(B58/(B58+C58))</f>
        <v>1.4196539101497503</v>
      </c>
    </row>
    <row r="57" spans="1:5" x14ac:dyDescent="0.3">
      <c r="A57" t="s">
        <v>23</v>
      </c>
      <c r="B57">
        <v>97</v>
      </c>
      <c r="C57">
        <v>504</v>
      </c>
      <c r="D57" t="s">
        <v>2</v>
      </c>
      <c r="E57">
        <f>EXP(LN(E56)+1.96*E59)</f>
        <v>1.830350007513583</v>
      </c>
    </row>
    <row r="58" spans="1:5" x14ac:dyDescent="0.3">
      <c r="A58" t="s">
        <v>14</v>
      </c>
      <c r="B58">
        <v>250</v>
      </c>
      <c r="C58">
        <v>1949</v>
      </c>
      <c r="D58" t="s">
        <v>1</v>
      </c>
      <c r="E58">
        <f>EXP(LN(E56)-1.96*E59)</f>
        <v>1.1011102883766448</v>
      </c>
    </row>
    <row r="59" spans="1:5" x14ac:dyDescent="0.3">
      <c r="D59" t="s">
        <v>0</v>
      </c>
      <c r="E59">
        <f>SQRT(1/B57+1/C57+1/B58+1/C58)</f>
        <v>0.12963984328621569</v>
      </c>
    </row>
    <row r="60" spans="1:5" x14ac:dyDescent="0.3">
      <c r="A60" s="1" t="s">
        <v>20</v>
      </c>
    </row>
    <row r="61" spans="1:5" x14ac:dyDescent="0.3">
      <c r="B61" t="s">
        <v>8</v>
      </c>
      <c r="C61" t="s">
        <v>7</v>
      </c>
      <c r="D61" t="s">
        <v>21</v>
      </c>
      <c r="E61">
        <f>(B62/(B62+C62))/(B63/(B63+C63))</f>
        <v>5.780376868096166</v>
      </c>
    </row>
    <row r="62" spans="1:5" x14ac:dyDescent="0.3">
      <c r="A62" t="s">
        <v>24</v>
      </c>
      <c r="B62">
        <v>8</v>
      </c>
      <c r="C62">
        <v>30</v>
      </c>
      <c r="D62" t="s">
        <v>2</v>
      </c>
      <c r="E62">
        <f>EXP(LN(E61)+1.96*E64)</f>
        <v>13.004767814474629</v>
      </c>
    </row>
    <row r="63" spans="1:5" x14ac:dyDescent="0.3">
      <c r="A63" t="s">
        <v>14</v>
      </c>
      <c r="B63">
        <v>81</v>
      </c>
      <c r="C63">
        <v>2143</v>
      </c>
      <c r="D63" t="s">
        <v>1</v>
      </c>
      <c r="E63">
        <f>EXP(LN(E61)-1.96*E64)</f>
        <v>2.5692697642807598</v>
      </c>
    </row>
    <row r="64" spans="1:5" x14ac:dyDescent="0.3">
      <c r="D64" t="s">
        <v>0</v>
      </c>
      <c r="E64">
        <f>SQRT(1/B62+1/C62+1/B63+1/C63)</f>
        <v>0.41369753190381559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Sweta</dc:creator>
  <cp:lastModifiedBy>Balaji, Sweta</cp:lastModifiedBy>
  <dcterms:created xsi:type="dcterms:W3CDTF">2024-09-27T22:09:16Z</dcterms:created>
  <dcterms:modified xsi:type="dcterms:W3CDTF">2025-12-03T04:54:11Z</dcterms:modified>
</cp:coreProperties>
</file>